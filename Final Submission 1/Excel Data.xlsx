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a Jamiu Akorede\Basirat Akorede-Musa\"/>
    </mc:Choice>
  </mc:AlternateContent>
  <xr:revisionPtr revIDLastSave="0" documentId="8_{F7070D2F-D66D-4F5F-961A-BC20D1B942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SWER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K18" i="2"/>
  <c r="K17" i="2"/>
  <c r="K16" i="2"/>
  <c r="J18" i="2"/>
  <c r="J17" i="2"/>
  <c r="J16" i="2"/>
  <c r="K15" i="2"/>
  <c r="J15" i="2"/>
  <c r="K14" i="2"/>
  <c r="J14" i="2"/>
  <c r="O7" i="2"/>
  <c r="O6" i="2"/>
  <c r="O5" i="2"/>
  <c r="O4" i="2"/>
  <c r="O3" i="2"/>
  <c r="J9" i="2"/>
  <c r="J8" i="2"/>
  <c r="I9" i="2"/>
  <c r="I8" i="2"/>
  <c r="J7" i="2"/>
  <c r="I7" i="2"/>
  <c r="J6" i="2"/>
  <c r="I6" i="2"/>
  <c r="J5" i="2"/>
  <c r="I5" i="2"/>
  <c r="J4" i="2"/>
  <c r="I4" i="2"/>
  <c r="P28" i="2" l="1"/>
  <c r="L28" i="2"/>
  <c r="K26" i="2"/>
  <c r="J27" i="2"/>
  <c r="N17" i="2"/>
  <c r="K27" i="2"/>
  <c r="K28" i="2"/>
  <c r="J25" i="2"/>
  <c r="O16" i="2"/>
  <c r="N18" i="2"/>
  <c r="O18" i="2"/>
  <c r="P18" i="2"/>
  <c r="N19" i="2"/>
  <c r="O19" i="2"/>
  <c r="P19" i="2"/>
  <c r="O15" i="2"/>
  <c r="P15" i="2"/>
  <c r="N15" i="2"/>
  <c r="P24" i="2"/>
  <c r="L27" i="2"/>
  <c r="K24" i="2"/>
  <c r="J28" i="2"/>
  <c r="O17" i="2"/>
  <c r="N28" i="2"/>
  <c r="O24" i="2"/>
  <c r="N24" i="2"/>
  <c r="L25" i="2"/>
  <c r="L26" i="2"/>
  <c r="L24" i="2"/>
  <c r="J24" i="2"/>
  <c r="N16" i="2"/>
  <c r="P17" i="2"/>
  <c r="O28" i="2"/>
  <c r="K25" i="2"/>
  <c r="J26" i="2"/>
  <c r="P16" i="2"/>
</calcChain>
</file>

<file path=xl/sharedStrings.xml><?xml version="1.0" encoding="utf-8"?>
<sst xmlns="http://schemas.openxmlformats.org/spreadsheetml/2006/main" count="73" uniqueCount="27">
  <si>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</si>
  <si>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</si>
  <si>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</si>
  <si>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</si>
  <si>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</si>
  <si>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</si>
  <si>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</si>
  <si>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</si>
  <si>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</si>
  <si>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</si>
  <si>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</si>
  <si>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</si>
  <si>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</si>
  <si>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</si>
  <si>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</si>
  <si>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</si>
  <si>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</si>
  <si>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</si>
  <si>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</si>
  <si>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</si>
  <si>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</si>
  <si>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</si>
  <si>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</si>
  <si>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</si>
  <si>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</si>
  <si>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>Total Quantity per Year</t>
  </si>
  <si>
    <t>Average Quantity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</si>
</sst>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43" fontId="1" fillId="0" borderId="5" xfId="1" applyFont="1" applyFill="1" applyBorder="1" applyAlignment="1"/>
    <xf numFmtId="0" fontId="0" fillId="0" borderId="18" xfId="0" applyBorder="1"/>
    <xf numFmtId="1" fontId="0" fillId="0" borderId="0" xfId="0" applyNumberFormat="1"/>
    <xf numFmtId="2" fontId="3" fillId="4" borderId="4" xfId="0" applyNumberFormat="1" applyFont="1" applyFill="1" applyBorder="1"/>
    <xf numFmtId="1" fontId="0" fillId="0" borderId="6" xfId="0" applyNumberFormat="1" applyBorder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3FDF-8A01-4087-BA81-5094ED05540F}">
  <dimension ref="A1:P28"/>
  <sheetViews>
    <sheetView tabSelected="1" topLeftCell="C1" workbookViewId="0">
      <selection activeCell="J24" sqref="J24"/>
    </sheetView>
  </sheetViews>
  <sheetFormatPr defaultRowHeight="15" x14ac:dyDescent="0.25"/>
  <cols>
    <col min="4" max="4" width="14" customWidth="1"/>
    <col min="5" max="5" width="18.140625" customWidth="1"/>
    <col min="6" max="6" width="12.5703125" customWidth="1"/>
    <col min="8" max="8" width="11.42578125" customWidth="1"/>
    <col min="9" max="9" width="18.42578125" customWidth="1"/>
    <col min="10" max="12" width="10.5703125" bestFit="1" customWidth="1"/>
    <col min="14" max="14" width="23.85546875" customWidth="1"/>
  </cols>
  <sheetData>
    <row r="1" spans="1:16" ht="26.25" thickBot="1" x14ac:dyDescent="0.4">
      <c r="A1" s="29" t="s">
        <v>0</v>
      </c>
      <c r="B1" s="29"/>
      <c r="C1" s="29"/>
      <c r="D1" s="29"/>
      <c r="E1" s="29"/>
      <c r="F1" s="29"/>
    </row>
    <row r="2" spans="1:16" ht="18.7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H2" s="30" t="s">
        <v>8</v>
      </c>
      <c r="I2" s="31"/>
      <c r="J2" s="32"/>
      <c r="M2" s="5"/>
      <c r="N2" s="6" t="s">
        <v>9</v>
      </c>
      <c r="O2" s="26" t="s">
        <v>10</v>
      </c>
    </row>
    <row r="3" spans="1:16" x14ac:dyDescent="0.25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H3" s="8"/>
      <c r="I3" s="9" t="s">
        <v>10</v>
      </c>
      <c r="J3" s="10" t="s">
        <v>6</v>
      </c>
      <c r="M3" s="33" t="s">
        <v>12</v>
      </c>
      <c r="N3" s="11" t="s">
        <v>13</v>
      </c>
      <c r="O3" s="27">
        <f>COUNTIF(D:D, "Abdul")</f>
        <v>6</v>
      </c>
    </row>
    <row r="4" spans="1:16" x14ac:dyDescent="0.2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H4" s="13" t="s">
        <v>14</v>
      </c>
      <c r="I4" s="11">
        <f>SUM(E3:E26)</f>
        <v>1224</v>
      </c>
      <c r="J4" s="14">
        <f>SUM(F3:F26)</f>
        <v>269280</v>
      </c>
      <c r="M4" s="34"/>
      <c r="N4" s="11" t="s">
        <v>7</v>
      </c>
      <c r="O4" s="12">
        <f>COUNTIF(D:D, "Ayo")</f>
        <v>3</v>
      </c>
    </row>
    <row r="5" spans="1:16" x14ac:dyDescent="0.2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13" t="s">
        <v>16</v>
      </c>
      <c r="I5" s="11">
        <f>MIN(E3:E26)</f>
        <v>24</v>
      </c>
      <c r="J5" s="14">
        <f>MIN(F3:F26)</f>
        <v>5280</v>
      </c>
      <c r="M5" s="34"/>
      <c r="N5" s="11" t="s">
        <v>15</v>
      </c>
      <c r="O5" s="12">
        <f>COUNTIF(D:D, "Ada")</f>
        <v>5</v>
      </c>
    </row>
    <row r="6" spans="1:16" x14ac:dyDescent="0.2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13" t="s">
        <v>17</v>
      </c>
      <c r="I6" s="11">
        <f>MAX(E3:E26)</f>
        <v>95</v>
      </c>
      <c r="J6" s="14">
        <f>MAX(F3:F26)</f>
        <v>20900</v>
      </c>
      <c r="M6" s="34"/>
      <c r="N6" s="11" t="s">
        <v>18</v>
      </c>
      <c r="O6" s="12">
        <f>COUNTIF(D:D, "Ese")</f>
        <v>3</v>
      </c>
    </row>
    <row r="7" spans="1:16" ht="15.75" thickBot="1" x14ac:dyDescent="0.3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13" t="s">
        <v>19</v>
      </c>
      <c r="I7" s="11">
        <f>AVERAGE(E3:E26)</f>
        <v>51</v>
      </c>
      <c r="J7" s="14">
        <f>AVERAGE(F3:F26)</f>
        <v>11220</v>
      </c>
      <c r="M7" s="35"/>
      <c r="N7" s="15" t="s">
        <v>11</v>
      </c>
      <c r="O7" s="12">
        <f>COUNTIF(D:D, "Tola")</f>
        <v>7</v>
      </c>
    </row>
    <row r="8" spans="1:16" x14ac:dyDescent="0.25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13" t="s">
        <v>20</v>
      </c>
      <c r="I8" s="11">
        <f>COUNT(E3:E26)</f>
        <v>24</v>
      </c>
      <c r="J8" s="12">
        <f>COUNT(F3:F26)</f>
        <v>24</v>
      </c>
    </row>
    <row r="9" spans="1:16" ht="15.75" thickBot="1" x14ac:dyDescent="0.3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16" t="s">
        <v>21</v>
      </c>
      <c r="I9" s="11">
        <f>COUNTA(E2:E26)</f>
        <v>25</v>
      </c>
      <c r="J9" s="17">
        <f>COUNTA(F2:F26)</f>
        <v>25</v>
      </c>
    </row>
    <row r="10" spans="1:16" x14ac:dyDescent="0.2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16" x14ac:dyDescent="0.2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16" ht="15.75" thickBot="1" x14ac:dyDescent="0.3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16" ht="15.75" thickBot="1" x14ac:dyDescent="0.3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  <c r="H13" s="5"/>
      <c r="I13" s="6" t="s">
        <v>9</v>
      </c>
      <c r="J13" s="6" t="s">
        <v>10</v>
      </c>
      <c r="K13" s="7" t="s">
        <v>6</v>
      </c>
      <c r="N13" s="36" t="s">
        <v>22</v>
      </c>
      <c r="O13" s="37"/>
      <c r="P13" s="38"/>
    </row>
    <row r="14" spans="1:16" x14ac:dyDescent="0.25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3" t="s">
        <v>23</v>
      </c>
      <c r="I14" s="11" t="s">
        <v>13</v>
      </c>
      <c r="J14" s="11">
        <f>SUMIF(D:D,"Abdul", E:E)</f>
        <v>277</v>
      </c>
      <c r="K14" s="11">
        <f>SUMIF(D:D,"Abdul", F:F)</f>
        <v>60940</v>
      </c>
      <c r="M14" s="18" t="s">
        <v>4</v>
      </c>
      <c r="N14" s="19">
        <v>2010</v>
      </c>
      <c r="O14" s="20">
        <v>2011</v>
      </c>
      <c r="P14" s="21">
        <v>2012</v>
      </c>
    </row>
    <row r="15" spans="1:16" x14ac:dyDescent="0.25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34"/>
      <c r="I15" s="11" t="s">
        <v>7</v>
      </c>
      <c r="J15" s="11">
        <f>SUMIF(D:D,"Ayo",E:E)</f>
        <v>140</v>
      </c>
      <c r="K15" s="11">
        <f>SUMIF(D:D,"Ayo", F:F)</f>
        <v>30800</v>
      </c>
      <c r="M15" s="22" t="s">
        <v>13</v>
      </c>
      <c r="N15" s="23">
        <f>SUMIFS($E3:$E$26,$C3:$C$26,N$14,$D3:$D$26,$M15)</f>
        <v>56</v>
      </c>
      <c r="O15" s="23">
        <f>SUMIFS($E3:$E$26,$C3:$C$26,O$14,$D3:$D$26,$M15)</f>
        <v>105</v>
      </c>
      <c r="P15" s="23">
        <f>SUMIFS($E3:$E$26,$C3:$C$26,P$14,$D3:$D$26,$M15)</f>
        <v>116</v>
      </c>
    </row>
    <row r="16" spans="1:16" x14ac:dyDescent="0.2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34"/>
      <c r="I16" s="11" t="s">
        <v>15</v>
      </c>
      <c r="J16" s="11">
        <f>SUMIF(D:D,"Ada",E:E)</f>
        <v>194</v>
      </c>
      <c r="K16" s="11">
        <f>SUMIF(D:D,"Ada",F:F)</f>
        <v>42680</v>
      </c>
      <c r="M16" s="22" t="s">
        <v>7</v>
      </c>
      <c r="N16" s="23">
        <f>SUMIFS($E4:$E$26,$C4:$C$26,N$14,$D4:$D$26,$M16)</f>
        <v>0</v>
      </c>
      <c r="O16" s="23">
        <f>SUMIFS($E4:$E$26,$C4:$C$26,O$14,$D4:$D$26,$M16)</f>
        <v>28</v>
      </c>
      <c r="P16" s="23">
        <f>SUMIFS($E4:$E$26,$C4:$C$26,P$14,$D4:$D$26,$M16)</f>
        <v>36</v>
      </c>
    </row>
    <row r="17" spans="1:16" x14ac:dyDescent="0.2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34"/>
      <c r="I17" s="11" t="s">
        <v>18</v>
      </c>
      <c r="J17" s="11">
        <f>SUMIF(D:D,"Ese", E:E)</f>
        <v>237</v>
      </c>
      <c r="K17" s="11">
        <f>SUMIF(D:D, "Ese",F:F)</f>
        <v>52140</v>
      </c>
      <c r="M17" s="22" t="s">
        <v>15</v>
      </c>
      <c r="N17" s="23">
        <f>SUMIFS($E5:$E$26,$C5:$C$26,N$14,$D5:$D$26,$M17)</f>
        <v>122</v>
      </c>
      <c r="O17" s="23">
        <f>SUMIFS($E5:$E$26,$C5:$C$26,O$14,$D5:$D$26,$M17)</f>
        <v>0</v>
      </c>
      <c r="P17" s="23">
        <f>SUMIFS($E5:$E$26,$C5:$C$26,P$14,$D5:$D$26,$M17)</f>
        <v>72</v>
      </c>
    </row>
    <row r="18" spans="1:16" ht="15.75" thickBot="1" x14ac:dyDescent="0.3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35"/>
      <c r="I18" s="15" t="s">
        <v>11</v>
      </c>
      <c r="J18" s="11">
        <f>SUMIF(D:D,"Tola",E:E)</f>
        <v>376</v>
      </c>
      <c r="K18" s="11">
        <f>SUMIF(D:D,"Tola",F:F)</f>
        <v>82720</v>
      </c>
      <c r="M18" s="22" t="s">
        <v>18</v>
      </c>
      <c r="N18" s="23">
        <f>SUMIFS($E6:$E$26,$C6:$C$26,N$14,$D6:$D$26,$M18)</f>
        <v>90</v>
      </c>
      <c r="O18" s="23">
        <f>SUMIFS($E6:$E$26,$C6:$C$26,O$14,$D6:$D$26,$M18)</f>
        <v>95</v>
      </c>
      <c r="P18" s="23">
        <f>SUMIFS($E6:$E$26,$C6:$C$26,P$14,$D6:$D$26,$M18)</f>
        <v>52</v>
      </c>
    </row>
    <row r="19" spans="1:16" ht="15.75" thickBot="1" x14ac:dyDescent="0.3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M19" s="24" t="s">
        <v>11</v>
      </c>
      <c r="N19" s="23">
        <f>SUMIFS($E7:$E$26,$C7:$C$26,N$14,$D7:$D$26,$M19)</f>
        <v>73</v>
      </c>
      <c r="O19" s="23">
        <f>SUMIFS($E7:$E$26,$C7:$C$26,O$14,$D7:$D$26,$M19)</f>
        <v>152</v>
      </c>
      <c r="P19" s="23">
        <f>SUMIFS($E7:$E$26,$C7:$C$26,P$14,$D7:$D$26,$M19)</f>
        <v>92</v>
      </c>
    </row>
    <row r="20" spans="1:16" x14ac:dyDescent="0.25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</row>
    <row r="21" spans="1:16" ht="15.75" thickBot="1" x14ac:dyDescent="0.3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</row>
    <row r="22" spans="1:16" ht="15.75" thickBot="1" x14ac:dyDescent="0.3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  <c r="J22" s="36" t="s">
        <v>24</v>
      </c>
      <c r="K22" s="37"/>
      <c r="L22" s="38"/>
      <c r="N22" s="28" t="s">
        <v>25</v>
      </c>
    </row>
    <row r="23" spans="1:16" x14ac:dyDescent="0.2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  <c r="I23" s="18" t="s">
        <v>4</v>
      </c>
      <c r="J23" s="19">
        <v>2010</v>
      </c>
      <c r="K23" s="20">
        <v>2011</v>
      </c>
      <c r="L23" s="21">
        <v>2012</v>
      </c>
      <c r="N23">
        <v>2010</v>
      </c>
      <c r="O23">
        <v>2011</v>
      </c>
      <c r="P23">
        <v>2012</v>
      </c>
    </row>
    <row r="24" spans="1:16" x14ac:dyDescent="0.2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  <c r="I24" s="22" t="s">
        <v>13</v>
      </c>
      <c r="J24" s="23">
        <f>SUMIFS($F3:$F$26,$C3:$C$26,J$23,$D3:$D$26,$I24)</f>
        <v>12320</v>
      </c>
      <c r="K24" s="23">
        <f>SUMIFS($F3:$F$26,$C3:$C$26,K$23,$D3:$D$26,$I24)</f>
        <v>23100</v>
      </c>
      <c r="L24" s="23">
        <f>SUMIFS($F3:$F$26,$C3:$C$26,L$23,$D3:$D$26,$I24)</f>
        <v>25520</v>
      </c>
      <c r="N24">
        <f>SUMIF(C:C,"2010",E:E)</f>
        <v>476</v>
      </c>
      <c r="O24">
        <f>SUMIF(C:C,"2011",E:E)</f>
        <v>380</v>
      </c>
      <c r="P24">
        <f>SUMIF(C:C,"2012",E:E)</f>
        <v>368</v>
      </c>
    </row>
    <row r="25" spans="1:16" x14ac:dyDescent="0.2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  <c r="I25" s="22" t="s">
        <v>7</v>
      </c>
      <c r="J25" s="23">
        <f>SUMIFS($F4:$F$26,$C4:$C$26,J$23,$D4:$D$26,$I25)</f>
        <v>0</v>
      </c>
      <c r="K25" s="23">
        <f>SUMIFS($F4:$F$26,$C4:$C$26,K$23,$D4:$D$26,$I25)</f>
        <v>6160</v>
      </c>
      <c r="L25" s="23">
        <f>SUMIFS($F4:$F$26,$C4:$C$26,L$23,$D4:$D$26,$I25)</f>
        <v>7920</v>
      </c>
    </row>
    <row r="26" spans="1:16" x14ac:dyDescent="0.2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  <c r="I26" s="22" t="s">
        <v>15</v>
      </c>
      <c r="J26" s="23">
        <f>SUMIFS($F5:$F$26,$C5:$C$26,J$23,$D5:$D$26,$I26)</f>
        <v>26840</v>
      </c>
      <c r="K26" s="23">
        <f>SUMIFS($F5:$F$26,$C5:$C$26,K$23,$D5:$D$26,$I26)</f>
        <v>0</v>
      </c>
      <c r="L26" s="23">
        <f>SUMIFS($F5:$F$26,$C5:$C$26,L$23,$D5:$D$26,$I26)</f>
        <v>15840</v>
      </c>
      <c r="N26" s="28" t="s">
        <v>26</v>
      </c>
    </row>
    <row r="27" spans="1:16" x14ac:dyDescent="0.25">
      <c r="I27" s="22" t="s">
        <v>18</v>
      </c>
      <c r="J27" s="23">
        <f>SUMIFS($F6:$F$26,$C6:$C$26,J$23,$D6:$D$26,$I27)</f>
        <v>19800</v>
      </c>
      <c r="K27" s="23">
        <f>SUMIFS($F6:$F$26,$C6:$C$26,K$23,$D6:$D$26,$I27)</f>
        <v>20900</v>
      </c>
      <c r="L27" s="23">
        <f>SUMIFS($F6:$F$26,$C6:$C$26,L$23,$D6:$D$26,$I27)</f>
        <v>11440</v>
      </c>
      <c r="N27">
        <v>2010</v>
      </c>
      <c r="O27">
        <v>2011</v>
      </c>
      <c r="P27">
        <v>2012</v>
      </c>
    </row>
    <row r="28" spans="1:16" ht="15.75" thickBot="1" x14ac:dyDescent="0.3">
      <c r="I28" s="24" t="s">
        <v>11</v>
      </c>
      <c r="J28" s="23">
        <f>SUMIFS($F7:$F$26,$C7:$C$26,J$23,$D7:$D$26,$I28)</f>
        <v>16060</v>
      </c>
      <c r="K28" s="23">
        <f>SUMIFS($F7:$F$26,$C7:$C$26,K$23,$D7:$D$26,$I28)</f>
        <v>33440</v>
      </c>
      <c r="L28" s="23">
        <f>SUMIFS($F7:$F$26,$C7:$C$26,L$23,$D7:$D$26,$I28)</f>
        <v>20240</v>
      </c>
      <c r="N28" s="25">
        <f>AVERAGEIF(C:C,"2010",E:E)</f>
        <v>52.888888888888886</v>
      </c>
      <c r="O28" s="25">
        <f>AVERAGEIF(C:C,"2011",E:E)</f>
        <v>63.333333333333336</v>
      </c>
      <c r="P28" s="25">
        <f>AVERAGEIF(C:C,"2012",E:E)</f>
        <v>40.888888888888886</v>
      </c>
    </row>
  </sheetData>
  <mergeCells count="6">
    <mergeCell ref="J22:L22"/>
    <mergeCell ref="A1:F1"/>
    <mergeCell ref="H2:J2"/>
    <mergeCell ref="M3:M7"/>
    <mergeCell ref="H14:H18"/>
    <mergeCell ref="N13:P13"/>
  </mergeCells>
  <conditionalFormatting sqref="F2:F26">
    <cfRule type="cellIs" dxfId="1" priority="1" operator="lessThan">
      <formula>6000</formula>
    </cfRule>
    <cfRule type="cellIs" dxfId="0" priority="2" operator="greaterThan">
      <formula>15000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Basirat Akorede-Musa</cp:lastModifiedBy>
  <dcterms:created xsi:type="dcterms:W3CDTF">2024-05-08T21:08:42Z</dcterms:created>
  <dcterms:modified xsi:type="dcterms:W3CDTF">2026-05-03T17:48:08Z</dcterms:modified>
</cp:coreProperties>
</file>